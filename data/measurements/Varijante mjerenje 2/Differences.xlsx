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Varijante mjerenje 2/"/>
    </mc:Choice>
  </mc:AlternateContent>
  <xr:revisionPtr revIDLastSave="0" documentId="8_{9AF06240-C883-EC41-948F-079609349695}" xr6:coauthVersionLast="47" xr6:coauthVersionMax="47" xr10:uidLastSave="{00000000-0000-0000-0000-000000000000}"/>
  <bookViews>
    <workbookView xWindow="4360" yWindow="4160" windowWidth="28040" windowHeight="17180" xr2:uid="{C585352D-295A-494F-9DE9-B2AB86B12000}"/>
  </bookViews>
  <sheets>
    <sheet name="Comparis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1" l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D10" i="1" a="1"/>
  <c r="D10" i="1" s="1"/>
  <c r="G10" i="1" a="1"/>
  <c r="G10" i="1" s="1"/>
  <c r="F10" i="1" a="1"/>
  <c r="F10" i="1" s="1"/>
  <c r="E10" i="1" a="1"/>
  <c r="E10" i="1" s="1"/>
  <c r="G5" i="1"/>
  <c r="F5" i="1"/>
  <c r="E5" i="1"/>
  <c r="D5" i="1"/>
  <c r="C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<sst xmlns="http://schemas.openxmlformats.org/spreadsheetml/2006/main" count="32" uniqueCount="16">
  <si>
    <t>BrasilMG30n</t>
  </si>
  <si>
    <t>BrasilNE50n</t>
  </si>
  <si>
    <t>Londrina100n</t>
  </si>
  <si>
    <t>kroB150n</t>
  </si>
  <si>
    <t>Teresina200n</t>
  </si>
  <si>
    <t>Full model</t>
  </si>
  <si>
    <t>Without intensifier</t>
  </si>
  <si>
    <t>Without forced restart</t>
  </si>
  <si>
    <t>Without pheromone guidance</t>
  </si>
  <si>
    <t>ablation</t>
  </si>
  <si>
    <t>Instance</t>
  </si>
  <si>
    <t>Difference</t>
  </si>
  <si>
    <t>Median</t>
  </si>
  <si>
    <t>W/o intensif</t>
  </si>
  <si>
    <t>W/o restart</t>
  </si>
  <si>
    <t>W/o phero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</si>
</sst>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Comparison!$E$9</c:f>
              <c:strCache>
                <c:ptCount val="1"/>
                <c:pt idx="0">
                  <c:v>W/o intensif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Comparison!$D$10:$D$14</c:f>
              <c:strCache>
                <c:ptCount val="5"/>
                <c:pt idx="0">
                  <c:v>BrasilMG30n</c:v>
                </c:pt>
                <c:pt idx="1">
                  <c:v>BrasilNE50n</c:v>
                </c:pt>
                <c:pt idx="2">
                  <c:v>Londrina100n</c:v>
                </c:pt>
                <c:pt idx="3">
                  <c:v>kroB150n</c:v>
                </c:pt>
                <c:pt idx="4">
                  <c:v>Teresina200n</c:v>
                </c:pt>
              </c:strCache>
            </c:strRef>
          </c:cat>
          <c:val>
            <c:numRef>
              <c:f>Comparison!$E$10:$E$14</c:f>
              <c:numCache>
                <c:formatCode>General</c:formatCode>
                <c:ptCount val="5"/>
                <c:pt idx="0">
                  <c:v>0</c:v>
                </c:pt>
                <c:pt idx="1">
                  <c:v>-1</c:v>
                </c:pt>
                <c:pt idx="2">
                  <c:v>4</c:v>
                </c:pt>
                <c:pt idx="3">
                  <c:v>881</c:v>
                </c:pt>
                <c:pt idx="4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5-B14C-9CCB-8FC4EE351F53}"/>
            </c:ext>
          </c:extLst>
        </c:ser>
        <c:ser>
          <c:idx val="1"/>
          <c:order val="1"/>
          <c:tx>
            <c:strRef>
              <c:f>Comparison!$F$9</c:f>
              <c:strCache>
                <c:ptCount val="1"/>
                <c:pt idx="0">
                  <c:v>W/o restart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Comparison!$D$10:$D$14</c:f>
              <c:strCache>
                <c:ptCount val="5"/>
                <c:pt idx="0">
                  <c:v>BrasilMG30n</c:v>
                </c:pt>
                <c:pt idx="1">
                  <c:v>BrasilNE50n</c:v>
                </c:pt>
                <c:pt idx="2">
                  <c:v>Londrina100n</c:v>
                </c:pt>
                <c:pt idx="3">
                  <c:v>kroB150n</c:v>
                </c:pt>
                <c:pt idx="4">
                  <c:v>Teresina200n</c:v>
                </c:pt>
              </c:strCache>
            </c:strRef>
          </c:cat>
          <c:val>
            <c:numRef>
              <c:f>Comparison!$F$10:$F$14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20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F5-B14C-9CCB-8FC4EE351F53}"/>
            </c:ext>
          </c:extLst>
        </c:ser>
        <c:ser>
          <c:idx val="2"/>
          <c:order val="2"/>
          <c:tx>
            <c:strRef>
              <c:f>Comparison!$G$9</c:f>
              <c:strCache>
                <c:ptCount val="1"/>
                <c:pt idx="0">
                  <c:v>W/o phero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Comparison!$D$10:$D$14</c:f>
              <c:strCache>
                <c:ptCount val="5"/>
                <c:pt idx="0">
                  <c:v>BrasilMG30n</c:v>
                </c:pt>
                <c:pt idx="1">
                  <c:v>BrasilNE50n</c:v>
                </c:pt>
                <c:pt idx="2">
                  <c:v>Londrina100n</c:v>
                </c:pt>
                <c:pt idx="3">
                  <c:v>kroB150n</c:v>
                </c:pt>
                <c:pt idx="4">
                  <c:v>Teresina200n</c:v>
                </c:pt>
              </c:strCache>
            </c:strRef>
          </c:cat>
          <c:val>
            <c:numRef>
              <c:f>Comparison!$G$10:$G$14</c:f>
              <c:numCache>
                <c:formatCode>General</c:formatCode>
                <c:ptCount val="5"/>
                <c:pt idx="0">
                  <c:v>3</c:v>
                </c:pt>
                <c:pt idx="1">
                  <c:v>11</c:v>
                </c:pt>
                <c:pt idx="2">
                  <c:v>15</c:v>
                </c:pt>
                <c:pt idx="3">
                  <c:v>28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F5-B14C-9CCB-8FC4EE351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670144"/>
        <c:axId val="421870912"/>
      </c:barChart>
      <c:catAx>
        <c:axId val="41567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70912"/>
        <c:crosses val="autoZero"/>
        <c:auto val="1"/>
        <c:lblAlgn val="ctr"/>
        <c:lblOffset val="100"/>
        <c:noMultiLvlLbl val="0"/>
      </c:catAx>
      <c:valAx>
        <c:axId val="4218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567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Comparison!$E$9</c:f>
              <c:strCache>
                <c:ptCount val="1"/>
                <c:pt idx="0">
                  <c:v>W/o intensif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Comparison!$D$10:$D$14</c:f>
              <c:strCache>
                <c:ptCount val="5"/>
                <c:pt idx="0">
                  <c:v>BrasilMG30n</c:v>
                </c:pt>
                <c:pt idx="1">
                  <c:v>BrasilNE50n</c:v>
                </c:pt>
                <c:pt idx="2">
                  <c:v>Londrina100n</c:v>
                </c:pt>
                <c:pt idx="3">
                  <c:v>kroB150n</c:v>
                </c:pt>
                <c:pt idx="4">
                  <c:v>Teresina200n</c:v>
                </c:pt>
              </c:strCache>
            </c:strRef>
          </c:cat>
          <c:val>
            <c:numRef>
              <c:f>Comparison!$E$10:$E$14</c:f>
              <c:numCache>
                <c:formatCode>General</c:formatCode>
                <c:ptCount val="5"/>
                <c:pt idx="0">
                  <c:v>0</c:v>
                </c:pt>
                <c:pt idx="1">
                  <c:v>-1</c:v>
                </c:pt>
                <c:pt idx="2">
                  <c:v>4</c:v>
                </c:pt>
                <c:pt idx="3">
                  <c:v>881</c:v>
                </c:pt>
                <c:pt idx="4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E-4D41-B306-743B4B4E5FDE}"/>
            </c:ext>
          </c:extLst>
        </c:ser>
        <c:ser>
          <c:idx val="1"/>
          <c:order val="1"/>
          <c:tx>
            <c:strRef>
              <c:f>Comparison!$F$9</c:f>
              <c:strCache>
                <c:ptCount val="1"/>
                <c:pt idx="0">
                  <c:v>W/o restart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Comparison!$D$10:$D$14</c:f>
              <c:strCache>
                <c:ptCount val="5"/>
                <c:pt idx="0">
                  <c:v>BrasilMG30n</c:v>
                </c:pt>
                <c:pt idx="1">
                  <c:v>BrasilNE50n</c:v>
                </c:pt>
                <c:pt idx="2">
                  <c:v>Londrina100n</c:v>
                </c:pt>
                <c:pt idx="3">
                  <c:v>kroB150n</c:v>
                </c:pt>
                <c:pt idx="4">
                  <c:v>Teresina200n</c:v>
                </c:pt>
              </c:strCache>
            </c:strRef>
          </c:cat>
          <c:val>
            <c:numRef>
              <c:f>Comparison!$F$10:$F$14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20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CE-4D41-B306-743B4B4E5FDE}"/>
            </c:ext>
          </c:extLst>
        </c:ser>
        <c:ser>
          <c:idx val="2"/>
          <c:order val="2"/>
          <c:tx>
            <c:strRef>
              <c:f>Comparison!$G$9</c:f>
              <c:strCache>
                <c:ptCount val="1"/>
                <c:pt idx="0">
                  <c:v>W/o phero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Comparison!$D$10:$D$14</c:f>
              <c:strCache>
                <c:ptCount val="5"/>
                <c:pt idx="0">
                  <c:v>BrasilMG30n</c:v>
                </c:pt>
                <c:pt idx="1">
                  <c:v>BrasilNE50n</c:v>
                </c:pt>
                <c:pt idx="2">
                  <c:v>Londrina100n</c:v>
                </c:pt>
                <c:pt idx="3">
                  <c:v>kroB150n</c:v>
                </c:pt>
                <c:pt idx="4">
                  <c:v>Teresina200n</c:v>
                </c:pt>
              </c:strCache>
            </c:strRef>
          </c:cat>
          <c:val>
            <c:numRef>
              <c:f>Comparison!$G$10:$G$14</c:f>
              <c:numCache>
                <c:formatCode>General</c:formatCode>
                <c:ptCount val="5"/>
                <c:pt idx="0">
                  <c:v>3</c:v>
                </c:pt>
                <c:pt idx="1">
                  <c:v>11</c:v>
                </c:pt>
                <c:pt idx="2">
                  <c:v>15</c:v>
                </c:pt>
                <c:pt idx="3">
                  <c:v>28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CE-4D41-B306-743B4B4E5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670144"/>
        <c:axId val="421870912"/>
      </c:barChart>
      <c:catAx>
        <c:axId val="41567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70912"/>
        <c:crosses val="autoZero"/>
        <c:auto val="1"/>
        <c:lblAlgn val="ctr"/>
        <c:lblOffset val="100"/>
        <c:noMultiLvlLbl val="0"/>
      </c:catAx>
      <c:valAx>
        <c:axId val="42187091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567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8</xdr:row>
      <xdr:rowOff>19050</xdr:rowOff>
    </xdr:from>
    <xdr:to>
      <xdr:col>12</xdr:col>
      <xdr:colOff>679450</xdr:colOff>
      <xdr:row>21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EB9A8-6CB5-86F3-F380-08A9ED42C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8</xdr:row>
      <xdr:rowOff>0</xdr:rowOff>
    </xdr:from>
    <xdr:to>
      <xdr:col>17</xdr:col>
      <xdr:colOff>660400</xdr:colOff>
      <xdr:row>21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2D3FF3-5DDF-6C40-9555-8ED57F825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9311-13AC-5840-A17A-53A1C661A23B}">
  <dimension ref="B2:AA14"/>
  <sheetViews>
    <sheetView tabSelected="1" topLeftCell="F1" workbookViewId="0">
      <selection activeCell="N9" sqref="N9"/>
    </sheetView>
  </sheetViews>
  <sheetFormatPr baseColWidth="10" defaultRowHeight="16" x14ac:dyDescent="0.2"/>
  <cols>
    <col min="3" max="22" width="12.83203125" customWidth="1"/>
  </cols>
  <sheetData>
    <row r="2" spans="2:27" x14ac:dyDescent="0.2">
      <c r="B2" t="s">
        <v>9</v>
      </c>
      <c r="C2" s="1" t="s">
        <v>5</v>
      </c>
      <c r="D2" s="1"/>
      <c r="E2" s="1"/>
      <c r="F2" s="1"/>
      <c r="G2" s="1"/>
      <c r="H2" s="1" t="s">
        <v>6</v>
      </c>
      <c r="I2" s="1"/>
      <c r="J2" s="1"/>
      <c r="K2" s="1"/>
      <c r="L2" s="1"/>
      <c r="M2" s="1" t="s">
        <v>7</v>
      </c>
      <c r="N2" s="1"/>
      <c r="O2" s="1"/>
      <c r="P2" s="1"/>
      <c r="Q2" s="1"/>
      <c r="R2" s="1" t="s">
        <v>8</v>
      </c>
      <c r="S2" s="1"/>
      <c r="T2" s="1"/>
      <c r="U2" s="1"/>
      <c r="V2" s="1"/>
      <c r="W2" s="1"/>
      <c r="X2" s="1"/>
      <c r="Y2" s="1"/>
      <c r="Z2" s="1"/>
      <c r="AA2" s="1"/>
    </row>
    <row r="3" spans="2:27" x14ac:dyDescent="0.2">
      <c r="B3" t="s">
        <v>10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0</v>
      </c>
      <c r="I3" t="s">
        <v>1</v>
      </c>
      <c r="J3" t="s">
        <v>2</v>
      </c>
      <c r="K3" t="s">
        <v>3</v>
      </c>
      <c r="L3" t="s">
        <v>4</v>
      </c>
      <c r="M3" t="s">
        <v>0</v>
      </c>
      <c r="N3" t="s">
        <v>1</v>
      </c>
      <c r="O3" t="s">
        <v>2</v>
      </c>
      <c r="P3" t="s">
        <v>3</v>
      </c>
      <c r="Q3" t="s">
        <v>4</v>
      </c>
      <c r="R3" t="s">
        <v>0</v>
      </c>
      <c r="S3" t="s">
        <v>1</v>
      </c>
      <c r="T3" t="s">
        <v>2</v>
      </c>
      <c r="U3" t="s">
        <v>3</v>
      </c>
      <c r="V3" t="s">
        <v>4</v>
      </c>
    </row>
    <row r="4" spans="2:27" x14ac:dyDescent="0.2">
      <c r="B4" t="s">
        <v>12</v>
      </c>
      <c r="C4">
        <v>271</v>
      </c>
      <c r="D4">
        <v>609</v>
      </c>
      <c r="E4">
        <v>1165</v>
      </c>
      <c r="F4">
        <v>2935</v>
      </c>
      <c r="G4" s="3">
        <v>1419</v>
      </c>
      <c r="H4">
        <v>271</v>
      </c>
      <c r="I4">
        <v>608</v>
      </c>
      <c r="J4">
        <v>1169</v>
      </c>
      <c r="K4">
        <v>3816</v>
      </c>
      <c r="L4" s="3">
        <v>1853</v>
      </c>
      <c r="M4">
        <v>271</v>
      </c>
      <c r="N4">
        <v>609</v>
      </c>
      <c r="O4">
        <v>1168</v>
      </c>
      <c r="P4">
        <v>2955</v>
      </c>
      <c r="Q4" s="3">
        <v>1440</v>
      </c>
      <c r="R4">
        <v>274</v>
      </c>
      <c r="S4">
        <v>620</v>
      </c>
      <c r="T4">
        <v>1180</v>
      </c>
      <c r="U4">
        <v>2963</v>
      </c>
      <c r="V4" s="3">
        <v>1436</v>
      </c>
    </row>
    <row r="5" spans="2:27" x14ac:dyDescent="0.2">
      <c r="B5" t="s">
        <v>11</v>
      </c>
      <c r="C5">
        <f>C4-$C$4</f>
        <v>0</v>
      </c>
      <c r="D5">
        <f>D4-$D$4</f>
        <v>0</v>
      </c>
      <c r="E5">
        <f>E4-$E$4</f>
        <v>0</v>
      </c>
      <c r="F5">
        <f>F4-$F$4</f>
        <v>0</v>
      </c>
      <c r="G5">
        <f>G4-$G$4</f>
        <v>0</v>
      </c>
      <c r="H5">
        <f>H4-$C$4</f>
        <v>0</v>
      </c>
      <c r="I5">
        <f>I4-$D$4</f>
        <v>-1</v>
      </c>
      <c r="J5">
        <f>J4-$E$4</f>
        <v>4</v>
      </c>
      <c r="K5">
        <f>K4-$F$4</f>
        <v>881</v>
      </c>
      <c r="L5">
        <f>L4-$G$4</f>
        <v>434</v>
      </c>
      <c r="M5">
        <f>M4-$C$4</f>
        <v>0</v>
      </c>
      <c r="N5">
        <f>N4-$D$4</f>
        <v>0</v>
      </c>
      <c r="O5">
        <f>O4-$E$4</f>
        <v>3</v>
      </c>
      <c r="P5">
        <f>P4-$F$4</f>
        <v>20</v>
      </c>
      <c r="Q5">
        <f>Q4-$G$4</f>
        <v>21</v>
      </c>
      <c r="R5">
        <f>R4-$C$4</f>
        <v>3</v>
      </c>
      <c r="S5">
        <f>S4-$D$4</f>
        <v>11</v>
      </c>
      <c r="T5">
        <f>T4-$E$4</f>
        <v>15</v>
      </c>
      <c r="U5">
        <f>U4-$F$4</f>
        <v>28</v>
      </c>
      <c r="V5">
        <f>V4-$G$4</f>
        <v>17</v>
      </c>
    </row>
    <row r="9" spans="2:27" x14ac:dyDescent="0.2">
      <c r="D9" t="s">
        <v>10</v>
      </c>
      <c r="E9" t="s">
        <v>13</v>
      </c>
      <c r="F9" t="s">
        <v>14</v>
      </c>
      <c r="G9" t="s">
        <v>15</v>
      </c>
    </row>
    <row r="10" spans="2:27" x14ac:dyDescent="0.2">
      <c r="C10" s="2"/>
      <c r="D10" t="str" cm="1">
        <f t="array" ref="D10:D14">TRANSPOSE(C3:G3)</f>
        <v>BrasilMG30n</v>
      </c>
      <c r="E10" cm="1">
        <f t="array" ref="E10:E14">TRANSPOSE(H5:L5)</f>
        <v>0</v>
      </c>
      <c r="F10" cm="1">
        <f t="array" ref="F10:F14">TRANSPOSE(M5:Q5)</f>
        <v>0</v>
      </c>
      <c r="G10" cm="1">
        <f t="array" ref="G10:G14">TRANSPOSE(R5:V5)</f>
        <v>3</v>
      </c>
    </row>
    <row r="11" spans="2:27" x14ac:dyDescent="0.2">
      <c r="C11" s="2"/>
      <c r="D11" t="str">
        <v>BrasilNE50n</v>
      </c>
      <c r="E11">
        <v>-1</v>
      </c>
      <c r="F11" s="3">
        <v>0</v>
      </c>
      <c r="G11">
        <v>11</v>
      </c>
    </row>
    <row r="12" spans="2:27" x14ac:dyDescent="0.2">
      <c r="C12" s="2"/>
      <c r="D12" t="str">
        <v>Londrina100n</v>
      </c>
      <c r="E12">
        <v>4</v>
      </c>
      <c r="F12" s="3">
        <v>3</v>
      </c>
      <c r="G12">
        <v>15</v>
      </c>
    </row>
    <row r="13" spans="2:27" x14ac:dyDescent="0.2">
      <c r="C13" s="2"/>
      <c r="D13" t="str">
        <v>kroB150n</v>
      </c>
      <c r="E13">
        <v>881</v>
      </c>
      <c r="F13" s="3">
        <v>20</v>
      </c>
      <c r="G13">
        <v>28</v>
      </c>
    </row>
    <row r="14" spans="2:27" x14ac:dyDescent="0.2">
      <c r="D14" t="str">
        <v>Teresina200n</v>
      </c>
      <c r="E14">
        <v>434</v>
      </c>
      <c r="F14" s="3">
        <v>21</v>
      </c>
      <c r="G14">
        <v>17</v>
      </c>
    </row>
  </sheetData>
  <mergeCells count="5">
    <mergeCell ref="C2:G2"/>
    <mergeCell ref="H2:L2"/>
    <mergeCell ref="M2:Q2"/>
    <mergeCell ref="R2:V2"/>
    <mergeCell ref="W2:A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2026-05-15T11:09:45Z</dcterms:created>
  <dcterms:modified xsi:type="dcterms:W3CDTF">2026-05-15T11:52:25Z</dcterms:modified>
</cp:coreProperties>
</file>