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"/>
    </mc:Choice>
  </mc:AlternateContent>
  <xr:revisionPtr revIDLastSave="0" documentId="13_ncr:1_{E73DB573-B9AB-2A4D-9A86-E317D1BBDB1D}" xr6:coauthVersionLast="47" xr6:coauthVersionMax="47" xr10:uidLastSave="{00000000-0000-0000-0000-000000000000}"/>
  <bookViews>
    <workbookView xWindow="4360" yWindow="2260" windowWidth="28040" windowHeight="17180" xr2:uid="{381DA476-3C1C-CA40-9EF5-DEC6148F97CD}"/>
  </bookViews>
  <sheets>
    <sheet name="Comparison" sheetId="1" r:id="rId1"/>
  </sheets>
  <definedNames>
    <definedName name="_xlchart.v1.0" hidden="1">Comparison!$A$3:$A$15</definedName>
    <definedName name="_xlchart.v1.1" hidden="1">Comparison!$S$2</definedName>
    <definedName name="_xlchart.v1.10" hidden="1">Comparison!$W$3:$W$15</definedName>
    <definedName name="_xlchart.v1.11" hidden="1">Comparison!$X$2</definedName>
    <definedName name="_xlchart.v1.12" hidden="1">Comparison!$X$3:$X$15</definedName>
    <definedName name="_xlchart.v1.13" hidden="1">Comparison!$Y$2</definedName>
    <definedName name="_xlchart.v1.14" hidden="1">Comparison!$Y$3:$Y$15</definedName>
    <definedName name="_xlchart.v1.2" hidden="1">Comparison!$S$3:$S$15</definedName>
    <definedName name="_xlchart.v1.3" hidden="1">Comparison!$T$2</definedName>
    <definedName name="_xlchart.v1.4" hidden="1">Comparison!$T$3:$T$15</definedName>
    <definedName name="_xlchart.v1.5" hidden="1">Comparison!$U$2</definedName>
    <definedName name="_xlchart.v1.6" hidden="1">Comparison!$U$3:$U$15</definedName>
    <definedName name="_xlchart.v1.7" hidden="1">Comparison!$V$2</definedName>
    <definedName name="_xlchart.v1.8" hidden="1">Comparison!$V$3:$V$15</definedName>
    <definedName name="_xlchart.v1.9" hidden="1">Comparison!$W$2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5" i="1" l="1"/>
  <c r="Y15" i="1"/>
  <c r="X15" i="1"/>
  <c r="W15" i="1"/>
  <c r="V15" i="1"/>
  <c r="U15" i="1"/>
  <c r="T15" i="1"/>
  <c r="S15" i="1"/>
  <c r="Z14" i="1"/>
  <c r="Y14" i="1"/>
  <c r="X14" i="1"/>
  <c r="W14" i="1"/>
  <c r="V14" i="1"/>
  <c r="U14" i="1"/>
  <c r="T14" i="1"/>
  <c r="S14" i="1"/>
  <c r="Z13" i="1"/>
  <c r="Y13" i="1"/>
  <c r="X13" i="1"/>
  <c r="W13" i="1"/>
  <c r="V13" i="1"/>
  <c r="U13" i="1"/>
  <c r="T13" i="1"/>
  <c r="S13" i="1"/>
  <c r="Z12" i="1"/>
  <c r="Y12" i="1"/>
  <c r="X12" i="1"/>
  <c r="W12" i="1"/>
  <c r="V12" i="1"/>
  <c r="U12" i="1"/>
  <c r="T12" i="1"/>
  <c r="S12" i="1"/>
  <c r="Z11" i="1"/>
  <c r="Y11" i="1"/>
  <c r="X11" i="1"/>
  <c r="W11" i="1"/>
  <c r="V11" i="1"/>
  <c r="U11" i="1"/>
  <c r="T11" i="1"/>
  <c r="S11" i="1"/>
  <c r="Z10" i="1"/>
  <c r="Y10" i="1"/>
  <c r="X10" i="1"/>
  <c r="W10" i="1"/>
  <c r="V10" i="1"/>
  <c r="U10" i="1"/>
  <c r="T10" i="1"/>
  <c r="S10" i="1"/>
  <c r="Z9" i="1"/>
  <c r="Y9" i="1"/>
  <c r="X9" i="1"/>
  <c r="W9" i="1"/>
  <c r="V9" i="1"/>
  <c r="U9" i="1"/>
  <c r="T9" i="1"/>
  <c r="S9" i="1"/>
  <c r="Z8" i="1"/>
  <c r="Y8" i="1"/>
  <c r="X8" i="1"/>
  <c r="W8" i="1"/>
  <c r="V8" i="1"/>
  <c r="U8" i="1"/>
  <c r="T8" i="1"/>
  <c r="S8" i="1"/>
  <c r="Z7" i="1"/>
  <c r="Y7" i="1"/>
  <c r="X7" i="1"/>
  <c r="W7" i="1"/>
  <c r="V7" i="1"/>
  <c r="U7" i="1"/>
  <c r="T7" i="1"/>
  <c r="S7" i="1"/>
  <c r="Z6" i="1"/>
  <c r="Y6" i="1"/>
  <c r="X6" i="1"/>
  <c r="W6" i="1"/>
  <c r="V6" i="1"/>
  <c r="U6" i="1"/>
  <c r="T6" i="1"/>
  <c r="S6" i="1"/>
  <c r="Z5" i="1"/>
  <c r="Y5" i="1"/>
  <c r="X5" i="1"/>
  <c r="W5" i="1"/>
  <c r="V5" i="1"/>
  <c r="U5" i="1"/>
  <c r="T5" i="1"/>
  <c r="S5" i="1"/>
  <c r="Z4" i="1"/>
  <c r="Y4" i="1"/>
  <c r="X4" i="1"/>
  <c r="W4" i="1"/>
  <c r="V4" i="1"/>
  <c r="U4" i="1"/>
  <c r="T4" i="1"/>
  <c r="S4" i="1"/>
  <c r="Z3" i="1"/>
  <c r="Y3" i="1"/>
  <c r="X3" i="1"/>
  <c r="W3" i="1"/>
  <c r="V3" i="1"/>
  <c r="U3" i="1"/>
  <c r="T3" i="1"/>
  <c r="S3" i="1"/>
</calcChain>
</file>

<file path=xl/sharedStrings.xml><?xml version="1.0" encoding="utf-8"?>
<sst xmlns="http://schemas.openxmlformats.org/spreadsheetml/2006/main" count="42" uniqueCount="26">
  <si>
    <t>problem</t>
  </si>
  <si>
    <t>min</t>
  </si>
  <si>
    <t>p10</t>
  </si>
  <si>
    <t>q1</t>
  </si>
  <si>
    <t>median</t>
  </si>
  <si>
    <t>q3</t>
  </si>
  <si>
    <t>p90</t>
  </si>
  <si>
    <t>max</t>
  </si>
  <si>
    <t>mean</t>
  </si>
  <si>
    <t>n</t>
  </si>
  <si>
    <t>random</t>
  </si>
  <si>
    <t>BrasinPR25n</t>
  </si>
  <si>
    <t>BrasilMG30n</t>
  </si>
  <si>
    <t>BrasilCO40n</t>
  </si>
  <si>
    <t>BrasilNO45n</t>
  </si>
  <si>
    <t>BrasilNE50n</t>
  </si>
  <si>
    <t>Londrina100n</t>
  </si>
  <si>
    <t>ACO</t>
  </si>
  <si>
    <t>Osasco100n</t>
  </si>
  <si>
    <t>rd100nB</t>
  </si>
  <si>
    <t>kroB150n</t>
  </si>
  <si>
    <t>d198n</t>
  </si>
  <si>
    <t>difference</t>
  </si>
  <si>
    <t>Aracaju200n</t>
  </si>
  <si>
    <t>Teresina200n</t>
  </si>
  <si>
    <t>Curitiba300n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</si>
</sst>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Comparison!$S$2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Comparison!$A$3:$A$15</c:f>
              <c:strCache>
                <c:ptCount val="13"/>
                <c:pt idx="0">
                  <c:v>BrasinPR25n</c:v>
                </c:pt>
                <c:pt idx="1">
                  <c:v>BrasilMG30n</c:v>
                </c:pt>
                <c:pt idx="2">
                  <c:v>BrasilCO40n</c:v>
                </c:pt>
                <c:pt idx="3">
                  <c:v>BrasilNO45n</c:v>
                </c:pt>
                <c:pt idx="4">
                  <c:v>BrasilNE50n</c:v>
                </c:pt>
                <c:pt idx="5">
                  <c:v>Londrina100n</c:v>
                </c:pt>
                <c:pt idx="6">
                  <c:v>Osasco100n</c:v>
                </c:pt>
                <c:pt idx="7">
                  <c:v>rd100nB</c:v>
                </c:pt>
                <c:pt idx="8">
                  <c:v>kroB150n</c:v>
                </c:pt>
                <c:pt idx="9">
                  <c:v>d198n</c:v>
                </c:pt>
                <c:pt idx="10">
                  <c:v>Aracaju200n</c:v>
                </c:pt>
                <c:pt idx="11">
                  <c:v>Teresina200n</c:v>
                </c:pt>
                <c:pt idx="12">
                  <c:v>Curitiba300n</c:v>
                </c:pt>
              </c:strCache>
            </c:strRef>
          </c:cat>
          <c:val>
            <c:numRef>
              <c:f>Comparison!$S$3:$S$15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10</c:v>
                </c:pt>
                <c:pt idx="6">
                  <c:v>8</c:v>
                </c:pt>
                <c:pt idx="7">
                  <c:v>3</c:v>
                </c:pt>
                <c:pt idx="8">
                  <c:v>15</c:v>
                </c:pt>
                <c:pt idx="9">
                  <c:v>5</c:v>
                </c:pt>
                <c:pt idx="10">
                  <c:v>1</c:v>
                </c:pt>
                <c:pt idx="11">
                  <c:v>0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E-1341-A36A-F7334F2ED5CB}"/>
            </c:ext>
          </c:extLst>
        </c:ser>
        <c:ser>
          <c:idx val="1"/>
          <c:order val="1"/>
          <c:tx>
            <c:strRef>
              <c:f>Comparison!$T$2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Comparison!$A$3:$A$15</c:f>
              <c:strCache>
                <c:ptCount val="13"/>
                <c:pt idx="0">
                  <c:v>BrasinPR25n</c:v>
                </c:pt>
                <c:pt idx="1">
                  <c:v>BrasilMG30n</c:v>
                </c:pt>
                <c:pt idx="2">
                  <c:v>BrasilCO40n</c:v>
                </c:pt>
                <c:pt idx="3">
                  <c:v>BrasilNO45n</c:v>
                </c:pt>
                <c:pt idx="4">
                  <c:v>BrasilNE50n</c:v>
                </c:pt>
                <c:pt idx="5">
                  <c:v>Londrina100n</c:v>
                </c:pt>
                <c:pt idx="6">
                  <c:v>Osasco100n</c:v>
                </c:pt>
                <c:pt idx="7">
                  <c:v>rd100nB</c:v>
                </c:pt>
                <c:pt idx="8">
                  <c:v>kroB150n</c:v>
                </c:pt>
                <c:pt idx="9">
                  <c:v>d198n</c:v>
                </c:pt>
                <c:pt idx="10">
                  <c:v>Aracaju200n</c:v>
                </c:pt>
                <c:pt idx="11">
                  <c:v>Teresina200n</c:v>
                </c:pt>
                <c:pt idx="12">
                  <c:v>Curitiba300n</c:v>
                </c:pt>
              </c:strCache>
            </c:strRef>
          </c:cat>
          <c:val>
            <c:numRef>
              <c:f>Comparison!$T$3:$T$15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15</c:v>
                </c:pt>
                <c:pt idx="7">
                  <c:v>1</c:v>
                </c:pt>
                <c:pt idx="8">
                  <c:v>11</c:v>
                </c:pt>
                <c:pt idx="9">
                  <c:v>0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E-1341-A36A-F7334F2ED5CB}"/>
            </c:ext>
          </c:extLst>
        </c:ser>
        <c:ser>
          <c:idx val="2"/>
          <c:order val="2"/>
          <c:tx>
            <c:strRef>
              <c:f>Comparison!$U$2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Comparison!$A$3:$A$15</c:f>
              <c:strCache>
                <c:ptCount val="13"/>
                <c:pt idx="0">
                  <c:v>BrasinPR25n</c:v>
                </c:pt>
                <c:pt idx="1">
                  <c:v>BrasilMG30n</c:v>
                </c:pt>
                <c:pt idx="2">
                  <c:v>BrasilCO40n</c:v>
                </c:pt>
                <c:pt idx="3">
                  <c:v>BrasilNO45n</c:v>
                </c:pt>
                <c:pt idx="4">
                  <c:v>BrasilNE50n</c:v>
                </c:pt>
                <c:pt idx="5">
                  <c:v>Londrina100n</c:v>
                </c:pt>
                <c:pt idx="6">
                  <c:v>Osasco100n</c:v>
                </c:pt>
                <c:pt idx="7">
                  <c:v>rd100nB</c:v>
                </c:pt>
                <c:pt idx="8">
                  <c:v>kroB150n</c:v>
                </c:pt>
                <c:pt idx="9">
                  <c:v>d198n</c:v>
                </c:pt>
                <c:pt idx="10">
                  <c:v>Aracaju200n</c:v>
                </c:pt>
                <c:pt idx="11">
                  <c:v>Teresina200n</c:v>
                </c:pt>
                <c:pt idx="12">
                  <c:v>Curitiba300n</c:v>
                </c:pt>
              </c:strCache>
            </c:strRef>
          </c:cat>
          <c:val>
            <c:numRef>
              <c:f>Comparison!$U$3:$U$15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9</c:v>
                </c:pt>
                <c:pt idx="3">
                  <c:v>11</c:v>
                </c:pt>
                <c:pt idx="4">
                  <c:v>6</c:v>
                </c:pt>
                <c:pt idx="5">
                  <c:v>7.5</c:v>
                </c:pt>
                <c:pt idx="6">
                  <c:v>16.5</c:v>
                </c:pt>
                <c:pt idx="7">
                  <c:v>6</c:v>
                </c:pt>
                <c:pt idx="8">
                  <c:v>11</c:v>
                </c:pt>
                <c:pt idx="9">
                  <c:v>4</c:v>
                </c:pt>
                <c:pt idx="10">
                  <c:v>13</c:v>
                </c:pt>
                <c:pt idx="11">
                  <c:v>2.5</c:v>
                </c:pt>
                <c:pt idx="12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E-1341-A36A-F7334F2ED5CB}"/>
            </c:ext>
          </c:extLst>
        </c:ser>
        <c:ser>
          <c:idx val="3"/>
          <c:order val="3"/>
          <c:tx>
            <c:strRef>
              <c:f>Comparison!$V$2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Comparison!$A$3:$A$15</c:f>
              <c:strCache>
                <c:ptCount val="13"/>
                <c:pt idx="0">
                  <c:v>BrasinPR25n</c:v>
                </c:pt>
                <c:pt idx="1">
                  <c:v>BrasilMG30n</c:v>
                </c:pt>
                <c:pt idx="2">
                  <c:v>BrasilCO40n</c:v>
                </c:pt>
                <c:pt idx="3">
                  <c:v>BrasilNO45n</c:v>
                </c:pt>
                <c:pt idx="4">
                  <c:v>BrasilNE50n</c:v>
                </c:pt>
                <c:pt idx="5">
                  <c:v>Londrina100n</c:v>
                </c:pt>
                <c:pt idx="6">
                  <c:v>Osasco100n</c:v>
                </c:pt>
                <c:pt idx="7">
                  <c:v>rd100nB</c:v>
                </c:pt>
                <c:pt idx="8">
                  <c:v>kroB150n</c:v>
                </c:pt>
                <c:pt idx="9">
                  <c:v>d198n</c:v>
                </c:pt>
                <c:pt idx="10">
                  <c:v>Aracaju200n</c:v>
                </c:pt>
                <c:pt idx="11">
                  <c:v>Teresina200n</c:v>
                </c:pt>
                <c:pt idx="12">
                  <c:v>Curitiba300n</c:v>
                </c:pt>
              </c:strCache>
            </c:strRef>
          </c:cat>
          <c:val>
            <c:numRef>
              <c:f>Comparison!$V$3:$V$15</c:f>
              <c:numCache>
                <c:formatCode>General</c:formatCode>
                <c:ptCount val="13"/>
                <c:pt idx="0">
                  <c:v>0</c:v>
                </c:pt>
                <c:pt idx="1">
                  <c:v>3</c:v>
                </c:pt>
                <c:pt idx="2">
                  <c:v>11</c:v>
                </c:pt>
                <c:pt idx="3">
                  <c:v>15</c:v>
                </c:pt>
                <c:pt idx="4">
                  <c:v>10</c:v>
                </c:pt>
                <c:pt idx="5">
                  <c:v>9</c:v>
                </c:pt>
                <c:pt idx="6">
                  <c:v>19</c:v>
                </c:pt>
                <c:pt idx="7">
                  <c:v>6</c:v>
                </c:pt>
                <c:pt idx="8">
                  <c:v>15</c:v>
                </c:pt>
                <c:pt idx="9">
                  <c:v>1</c:v>
                </c:pt>
                <c:pt idx="10">
                  <c:v>15</c:v>
                </c:pt>
                <c:pt idx="11">
                  <c:v>3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E-1341-A36A-F7334F2ED5CB}"/>
            </c:ext>
          </c:extLst>
        </c:ser>
        <c:ser>
          <c:idx val="4"/>
          <c:order val="4"/>
          <c:tx>
            <c:strRef>
              <c:f>Comparison!$W$2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Comparison!$A$3:$A$15</c:f>
              <c:strCache>
                <c:ptCount val="13"/>
                <c:pt idx="0">
                  <c:v>BrasinPR25n</c:v>
                </c:pt>
                <c:pt idx="1">
                  <c:v>BrasilMG30n</c:v>
                </c:pt>
                <c:pt idx="2">
                  <c:v>BrasilCO40n</c:v>
                </c:pt>
                <c:pt idx="3">
                  <c:v>BrasilNO45n</c:v>
                </c:pt>
                <c:pt idx="4">
                  <c:v>BrasilNE50n</c:v>
                </c:pt>
                <c:pt idx="5">
                  <c:v>Londrina100n</c:v>
                </c:pt>
                <c:pt idx="6">
                  <c:v>Osasco100n</c:v>
                </c:pt>
                <c:pt idx="7">
                  <c:v>rd100nB</c:v>
                </c:pt>
                <c:pt idx="8">
                  <c:v>kroB150n</c:v>
                </c:pt>
                <c:pt idx="9">
                  <c:v>d198n</c:v>
                </c:pt>
                <c:pt idx="10">
                  <c:v>Aracaju200n</c:v>
                </c:pt>
                <c:pt idx="11">
                  <c:v>Teresina200n</c:v>
                </c:pt>
                <c:pt idx="12">
                  <c:v>Curitiba300n</c:v>
                </c:pt>
              </c:strCache>
            </c:strRef>
          </c:cat>
          <c:val>
            <c:numRef>
              <c:f>Comparison!$W$3:$W$15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12.5</c:v>
                </c:pt>
                <c:pt idx="3">
                  <c:v>15.5</c:v>
                </c:pt>
                <c:pt idx="4">
                  <c:v>12.5</c:v>
                </c:pt>
                <c:pt idx="5">
                  <c:v>10</c:v>
                </c:pt>
                <c:pt idx="6">
                  <c:v>20</c:v>
                </c:pt>
                <c:pt idx="7">
                  <c:v>11</c:v>
                </c:pt>
                <c:pt idx="8">
                  <c:v>12.5</c:v>
                </c:pt>
                <c:pt idx="9">
                  <c:v>5.5</c:v>
                </c:pt>
                <c:pt idx="10">
                  <c:v>12.5</c:v>
                </c:pt>
                <c:pt idx="11">
                  <c:v>1</c:v>
                </c:pt>
                <c:pt idx="12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7E-1341-A36A-F7334F2ED5CB}"/>
            </c:ext>
          </c:extLst>
        </c:ser>
        <c:ser>
          <c:idx val="5"/>
          <c:order val="5"/>
          <c:tx>
            <c:strRef>
              <c:f>Comparison!$X$2</c:f>
              <c:strCache>
                <c:ptCount val="1"/>
                <c:pt idx="0">
                  <c:v>p90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Comparison!$A$3:$A$15</c:f>
              <c:strCache>
                <c:ptCount val="13"/>
                <c:pt idx="0">
                  <c:v>BrasinPR25n</c:v>
                </c:pt>
                <c:pt idx="1">
                  <c:v>BrasilMG30n</c:v>
                </c:pt>
                <c:pt idx="2">
                  <c:v>BrasilCO40n</c:v>
                </c:pt>
                <c:pt idx="3">
                  <c:v>BrasilNO45n</c:v>
                </c:pt>
                <c:pt idx="4">
                  <c:v>BrasilNE50n</c:v>
                </c:pt>
                <c:pt idx="5">
                  <c:v>Londrina100n</c:v>
                </c:pt>
                <c:pt idx="6">
                  <c:v>Osasco100n</c:v>
                </c:pt>
                <c:pt idx="7">
                  <c:v>rd100nB</c:v>
                </c:pt>
                <c:pt idx="8">
                  <c:v>kroB150n</c:v>
                </c:pt>
                <c:pt idx="9">
                  <c:v>d198n</c:v>
                </c:pt>
                <c:pt idx="10">
                  <c:v>Aracaju200n</c:v>
                </c:pt>
                <c:pt idx="11">
                  <c:v>Teresina200n</c:v>
                </c:pt>
                <c:pt idx="12">
                  <c:v>Curitiba300n</c:v>
                </c:pt>
              </c:strCache>
            </c:strRef>
          </c:cat>
          <c:val>
            <c:numRef>
              <c:f>Comparison!$X$3:$X$15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14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  <c:pt idx="6">
                  <c:v>23</c:v>
                </c:pt>
                <c:pt idx="7">
                  <c:v>9</c:v>
                </c:pt>
                <c:pt idx="8">
                  <c:v>12</c:v>
                </c:pt>
                <c:pt idx="9">
                  <c:v>7</c:v>
                </c:pt>
                <c:pt idx="10">
                  <c:v>8</c:v>
                </c:pt>
                <c:pt idx="11">
                  <c:v>-1</c:v>
                </c:pt>
                <c:pt idx="1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7E-1341-A36A-F7334F2ED5CB}"/>
            </c:ext>
          </c:extLst>
        </c:ser>
        <c:ser>
          <c:idx val="6"/>
          <c:order val="6"/>
          <c:tx>
            <c:strRef>
              <c:f>Comparison!$Y$2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Comparison!$A$3:$A$15</c:f>
              <c:strCache>
                <c:ptCount val="13"/>
                <c:pt idx="0">
                  <c:v>BrasinPR25n</c:v>
                </c:pt>
                <c:pt idx="1">
                  <c:v>BrasilMG30n</c:v>
                </c:pt>
                <c:pt idx="2">
                  <c:v>BrasilCO40n</c:v>
                </c:pt>
                <c:pt idx="3">
                  <c:v>BrasilNO45n</c:v>
                </c:pt>
                <c:pt idx="4">
                  <c:v>BrasilNE50n</c:v>
                </c:pt>
                <c:pt idx="5">
                  <c:v>Londrina100n</c:v>
                </c:pt>
                <c:pt idx="6">
                  <c:v>Osasco100n</c:v>
                </c:pt>
                <c:pt idx="7">
                  <c:v>rd100nB</c:v>
                </c:pt>
                <c:pt idx="8">
                  <c:v>kroB150n</c:v>
                </c:pt>
                <c:pt idx="9">
                  <c:v>d198n</c:v>
                </c:pt>
                <c:pt idx="10">
                  <c:v>Aracaju200n</c:v>
                </c:pt>
                <c:pt idx="11">
                  <c:v>Teresina200n</c:v>
                </c:pt>
                <c:pt idx="12">
                  <c:v>Curitiba300n</c:v>
                </c:pt>
              </c:strCache>
            </c:strRef>
          </c:cat>
          <c:val>
            <c:numRef>
              <c:f>Comparison!$Y$3:$Y$15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31</c:v>
                </c:pt>
                <c:pt idx="3">
                  <c:v>20</c:v>
                </c:pt>
                <c:pt idx="4">
                  <c:v>12</c:v>
                </c:pt>
                <c:pt idx="5">
                  <c:v>6</c:v>
                </c:pt>
                <c:pt idx="6">
                  <c:v>29</c:v>
                </c:pt>
                <c:pt idx="7">
                  <c:v>-6</c:v>
                </c:pt>
                <c:pt idx="8">
                  <c:v>1</c:v>
                </c:pt>
                <c:pt idx="9">
                  <c:v>33</c:v>
                </c:pt>
                <c:pt idx="10">
                  <c:v>6</c:v>
                </c:pt>
                <c:pt idx="11">
                  <c:v>1</c:v>
                </c:pt>
                <c:pt idx="1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7E-1341-A36A-F7334F2ED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8377984"/>
        <c:axId val="478365440"/>
      </c:barChart>
      <c:catAx>
        <c:axId val="47837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8365440"/>
        <c:crosses val="autoZero"/>
        <c:auto val="1"/>
        <c:lblAlgn val="ctr"/>
        <c:lblOffset val="100"/>
        <c:noMultiLvlLbl val="0"/>
      </c:catAx>
      <c:valAx>
        <c:axId val="47836544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837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387350</xdr:colOff>
      <xdr:row>0</xdr:row>
      <xdr:rowOff>184150</xdr:rowOff>
    </xdr:from>
    <xdr:to>
      <xdr:col>33</xdr:col>
      <xdr:colOff>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EB862-2E7D-F858-71F1-9F1E4245B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509F-48D3-3449-B83D-77752AE60E54}">
  <dimension ref="A1:Z15"/>
  <sheetViews>
    <sheetView tabSelected="1" workbookViewId="0">
      <selection activeCell="AI2" sqref="AI2"/>
    </sheetView>
  </sheetViews>
  <sheetFormatPr baseColWidth="10" defaultRowHeight="16" x14ac:dyDescent="0.2"/>
  <cols>
    <col min="1" max="1" width="21.5" customWidth="1"/>
  </cols>
  <sheetData>
    <row r="1" spans="1:26" x14ac:dyDescent="0.2">
      <c r="C1" s="12" t="s">
        <v>17</v>
      </c>
      <c r="D1" s="13"/>
      <c r="E1" s="13"/>
      <c r="F1" s="13"/>
      <c r="G1" s="13"/>
      <c r="H1" s="13"/>
      <c r="I1" s="13"/>
      <c r="J1" s="14"/>
      <c r="K1" s="12" t="s">
        <v>10</v>
      </c>
      <c r="L1" s="13"/>
      <c r="M1" s="13"/>
      <c r="N1" s="13"/>
      <c r="O1" s="13"/>
      <c r="P1" s="13"/>
      <c r="Q1" s="13"/>
      <c r="R1" s="13"/>
      <c r="S1" s="12" t="s">
        <v>22</v>
      </c>
      <c r="T1" s="13"/>
      <c r="U1" s="13"/>
      <c r="V1" s="13"/>
      <c r="W1" s="13"/>
      <c r="X1" s="13"/>
      <c r="Y1" s="13"/>
      <c r="Z1" s="13"/>
    </row>
    <row r="2" spans="1:26" ht="17" thickBot="1" x14ac:dyDescent="0.25">
      <c r="A2" s="5" t="s">
        <v>0</v>
      </c>
      <c r="B2" s="5" t="s">
        <v>9</v>
      </c>
      <c r="C2" s="6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7" t="s">
        <v>8</v>
      </c>
      <c r="K2" s="5" t="s">
        <v>1</v>
      </c>
      <c r="L2" s="5" t="s">
        <v>2</v>
      </c>
      <c r="M2" s="5" t="s">
        <v>3</v>
      </c>
      <c r="N2" s="5" t="s">
        <v>4</v>
      </c>
      <c r="O2" s="5" t="s">
        <v>5</v>
      </c>
      <c r="P2" s="5" t="s">
        <v>6</v>
      </c>
      <c r="Q2" s="5" t="s">
        <v>7</v>
      </c>
      <c r="R2" s="5" t="s">
        <v>8</v>
      </c>
      <c r="S2" s="6" t="s">
        <v>1</v>
      </c>
      <c r="T2" s="5" t="s">
        <v>2</v>
      </c>
      <c r="U2" s="5" t="s">
        <v>3</v>
      </c>
      <c r="V2" s="5" t="s">
        <v>4</v>
      </c>
      <c r="W2" s="5" t="s">
        <v>5</v>
      </c>
      <c r="X2" s="5" t="s">
        <v>6</v>
      </c>
      <c r="Y2" s="5" t="s">
        <v>7</v>
      </c>
      <c r="Z2" s="5" t="s">
        <v>8</v>
      </c>
    </row>
    <row r="3" spans="1:26" x14ac:dyDescent="0.2">
      <c r="A3" t="s">
        <v>11</v>
      </c>
      <c r="B3">
        <v>25</v>
      </c>
      <c r="C3" s="8">
        <v>226</v>
      </c>
      <c r="D3" s="9">
        <v>226</v>
      </c>
      <c r="E3" s="9">
        <v>226</v>
      </c>
      <c r="F3" s="9">
        <v>226</v>
      </c>
      <c r="G3" s="9">
        <v>226</v>
      </c>
      <c r="H3" s="9">
        <v>226</v>
      </c>
      <c r="I3" s="9">
        <v>227</v>
      </c>
      <c r="J3" s="10">
        <v>226.1</v>
      </c>
      <c r="K3" s="8">
        <v>226</v>
      </c>
      <c r="L3" s="9">
        <v>226</v>
      </c>
      <c r="M3" s="9">
        <v>226</v>
      </c>
      <c r="N3" s="9">
        <v>226</v>
      </c>
      <c r="O3" s="9">
        <v>227</v>
      </c>
      <c r="P3" s="9">
        <v>228</v>
      </c>
      <c r="Q3" s="9">
        <v>228</v>
      </c>
      <c r="R3" s="10">
        <v>226.5</v>
      </c>
      <c r="S3">
        <f>K3-C3</f>
        <v>0</v>
      </c>
      <c r="T3">
        <f t="shared" ref="T3:Z3" si="0">L3-D3</f>
        <v>0</v>
      </c>
      <c r="U3">
        <f t="shared" si="0"/>
        <v>0</v>
      </c>
      <c r="V3">
        <f t="shared" si="0"/>
        <v>0</v>
      </c>
      <c r="W3">
        <f t="shared" si="0"/>
        <v>1</v>
      </c>
      <c r="X3">
        <f t="shared" si="0"/>
        <v>2</v>
      </c>
      <c r="Y3">
        <f t="shared" si="0"/>
        <v>1</v>
      </c>
      <c r="Z3">
        <f t="shared" si="0"/>
        <v>0.40000000000000568</v>
      </c>
    </row>
    <row r="4" spans="1:26" x14ac:dyDescent="0.2">
      <c r="A4" t="s">
        <v>12</v>
      </c>
      <c r="B4">
        <v>30</v>
      </c>
      <c r="C4" s="3">
        <v>271</v>
      </c>
      <c r="D4" s="11">
        <v>271</v>
      </c>
      <c r="E4" s="11">
        <v>271</v>
      </c>
      <c r="F4" s="11">
        <v>271</v>
      </c>
      <c r="G4" s="11">
        <v>272.5</v>
      </c>
      <c r="H4" s="11">
        <v>273</v>
      </c>
      <c r="I4" s="11">
        <v>274</v>
      </c>
      <c r="J4" s="4">
        <v>271.60000000000002</v>
      </c>
      <c r="K4" s="1">
        <v>271</v>
      </c>
      <c r="L4">
        <v>272</v>
      </c>
      <c r="M4">
        <v>273</v>
      </c>
      <c r="N4">
        <v>274</v>
      </c>
      <c r="O4">
        <v>274.5</v>
      </c>
      <c r="P4">
        <v>276</v>
      </c>
      <c r="Q4">
        <v>278</v>
      </c>
      <c r="R4" s="2">
        <v>273.8</v>
      </c>
      <c r="S4">
        <f t="shared" ref="S4:S12" si="1">K4-C4</f>
        <v>0</v>
      </c>
      <c r="T4">
        <f t="shared" ref="T4:T12" si="2">L4-D4</f>
        <v>1</v>
      </c>
      <c r="U4">
        <f t="shared" ref="U4:U12" si="3">M4-E4</f>
        <v>2</v>
      </c>
      <c r="V4">
        <f t="shared" ref="V4:V12" si="4">N4-F4</f>
        <v>3</v>
      </c>
      <c r="W4">
        <f t="shared" ref="W4:W12" si="5">O4-G4</f>
        <v>2</v>
      </c>
      <c r="X4">
        <f t="shared" ref="X4:X12" si="6">P4-H4</f>
        <v>3</v>
      </c>
      <c r="Y4">
        <f t="shared" ref="Y4:Y12" si="7">Q4-I4</f>
        <v>4</v>
      </c>
      <c r="Z4">
        <f t="shared" ref="Z4:Z12" si="8">R4-J4</f>
        <v>2.1999999999999886</v>
      </c>
    </row>
    <row r="5" spans="1:26" x14ac:dyDescent="0.2">
      <c r="A5" t="s">
        <v>13</v>
      </c>
      <c r="B5">
        <v>40</v>
      </c>
      <c r="C5" s="3">
        <v>574</v>
      </c>
      <c r="D5" s="11">
        <v>574</v>
      </c>
      <c r="E5" s="11">
        <v>574</v>
      </c>
      <c r="F5" s="11">
        <v>575</v>
      </c>
      <c r="G5" s="11">
        <v>576.5</v>
      </c>
      <c r="H5" s="11">
        <v>578</v>
      </c>
      <c r="I5" s="11">
        <v>578</v>
      </c>
      <c r="J5" s="4">
        <v>575.33000000000004</v>
      </c>
      <c r="K5" s="1">
        <v>574</v>
      </c>
      <c r="L5">
        <v>580</v>
      </c>
      <c r="M5">
        <v>583</v>
      </c>
      <c r="N5">
        <v>586</v>
      </c>
      <c r="O5">
        <v>589</v>
      </c>
      <c r="P5">
        <v>592</v>
      </c>
      <c r="Q5">
        <v>609</v>
      </c>
      <c r="R5" s="2">
        <v>586.4</v>
      </c>
      <c r="S5">
        <f t="shared" si="1"/>
        <v>0</v>
      </c>
      <c r="T5">
        <f t="shared" si="2"/>
        <v>6</v>
      </c>
      <c r="U5">
        <f t="shared" si="3"/>
        <v>9</v>
      </c>
      <c r="V5">
        <f t="shared" si="4"/>
        <v>11</v>
      </c>
      <c r="W5">
        <f t="shared" si="5"/>
        <v>12.5</v>
      </c>
      <c r="X5">
        <f t="shared" si="6"/>
        <v>14</v>
      </c>
      <c r="Y5">
        <f t="shared" si="7"/>
        <v>31</v>
      </c>
      <c r="Z5">
        <f t="shared" si="8"/>
        <v>11.069999999999936</v>
      </c>
    </row>
    <row r="6" spans="1:26" x14ac:dyDescent="0.2">
      <c r="A6" t="s">
        <v>14</v>
      </c>
      <c r="B6">
        <v>45</v>
      </c>
      <c r="C6" s="3">
        <v>543</v>
      </c>
      <c r="D6" s="11">
        <v>545</v>
      </c>
      <c r="E6" s="11">
        <v>546</v>
      </c>
      <c r="F6" s="11">
        <v>547</v>
      </c>
      <c r="G6" s="11">
        <v>549</v>
      </c>
      <c r="H6" s="11">
        <v>551</v>
      </c>
      <c r="I6" s="11">
        <v>554</v>
      </c>
      <c r="J6" s="4">
        <v>547.71</v>
      </c>
      <c r="K6" s="1">
        <v>547</v>
      </c>
      <c r="L6">
        <v>551</v>
      </c>
      <c r="M6">
        <v>557</v>
      </c>
      <c r="N6">
        <v>562</v>
      </c>
      <c r="O6">
        <v>564.5</v>
      </c>
      <c r="P6">
        <v>567</v>
      </c>
      <c r="Q6">
        <v>574</v>
      </c>
      <c r="R6" s="2">
        <v>560.6</v>
      </c>
      <c r="S6">
        <f t="shared" si="1"/>
        <v>4</v>
      </c>
      <c r="T6">
        <f t="shared" si="2"/>
        <v>6</v>
      </c>
      <c r="U6">
        <f t="shared" si="3"/>
        <v>11</v>
      </c>
      <c r="V6">
        <f t="shared" si="4"/>
        <v>15</v>
      </c>
      <c r="W6">
        <f t="shared" si="5"/>
        <v>15.5</v>
      </c>
      <c r="X6">
        <f t="shared" si="6"/>
        <v>16</v>
      </c>
      <c r="Y6">
        <f t="shared" si="7"/>
        <v>20</v>
      </c>
      <c r="Z6">
        <f t="shared" si="8"/>
        <v>12.889999999999986</v>
      </c>
    </row>
    <row r="7" spans="1:26" x14ac:dyDescent="0.2">
      <c r="A7" t="s">
        <v>15</v>
      </c>
      <c r="B7">
        <v>50</v>
      </c>
      <c r="C7" s="3">
        <v>608</v>
      </c>
      <c r="D7" s="11">
        <v>608</v>
      </c>
      <c r="E7" s="11">
        <v>609</v>
      </c>
      <c r="F7" s="11">
        <v>610</v>
      </c>
      <c r="G7" s="11">
        <v>611</v>
      </c>
      <c r="H7" s="11">
        <v>612</v>
      </c>
      <c r="I7" s="11">
        <v>617</v>
      </c>
      <c r="J7" s="4">
        <v>610.20000000000005</v>
      </c>
      <c r="K7" s="1">
        <v>610</v>
      </c>
      <c r="L7">
        <v>613</v>
      </c>
      <c r="M7">
        <v>615</v>
      </c>
      <c r="N7">
        <v>620</v>
      </c>
      <c r="O7">
        <v>623.5</v>
      </c>
      <c r="P7">
        <v>626</v>
      </c>
      <c r="Q7">
        <v>629</v>
      </c>
      <c r="R7" s="2">
        <v>619.6</v>
      </c>
      <c r="S7">
        <f t="shared" si="1"/>
        <v>2</v>
      </c>
      <c r="T7">
        <f t="shared" si="2"/>
        <v>5</v>
      </c>
      <c r="U7">
        <f t="shared" si="3"/>
        <v>6</v>
      </c>
      <c r="V7">
        <f t="shared" si="4"/>
        <v>10</v>
      </c>
      <c r="W7">
        <f t="shared" si="5"/>
        <v>12.5</v>
      </c>
      <c r="X7">
        <f t="shared" si="6"/>
        <v>14</v>
      </c>
      <c r="Y7">
        <f t="shared" si="7"/>
        <v>12</v>
      </c>
      <c r="Z7">
        <f t="shared" si="8"/>
        <v>9.3999999999999773</v>
      </c>
    </row>
    <row r="8" spans="1:26" x14ac:dyDescent="0.2">
      <c r="A8" t="s">
        <v>16</v>
      </c>
      <c r="B8">
        <v>100</v>
      </c>
      <c r="C8" s="3">
        <v>1154</v>
      </c>
      <c r="D8" s="11">
        <v>1159</v>
      </c>
      <c r="E8" s="11">
        <v>1161</v>
      </c>
      <c r="F8" s="11">
        <v>1165</v>
      </c>
      <c r="G8" s="11">
        <v>1168</v>
      </c>
      <c r="H8" s="11">
        <v>1171</v>
      </c>
      <c r="I8" s="11">
        <v>1179</v>
      </c>
      <c r="J8" s="4">
        <v>1165.02</v>
      </c>
      <c r="K8" s="1">
        <v>1164</v>
      </c>
      <c r="L8">
        <v>1166</v>
      </c>
      <c r="M8">
        <v>1168.5</v>
      </c>
      <c r="N8">
        <v>1174</v>
      </c>
      <c r="O8">
        <v>1178</v>
      </c>
      <c r="P8">
        <v>1181</v>
      </c>
      <c r="Q8">
        <v>1185</v>
      </c>
      <c r="R8" s="2">
        <v>1173.27</v>
      </c>
      <c r="S8">
        <f t="shared" si="1"/>
        <v>10</v>
      </c>
      <c r="T8">
        <f t="shared" si="2"/>
        <v>7</v>
      </c>
      <c r="U8">
        <f t="shared" si="3"/>
        <v>7.5</v>
      </c>
      <c r="V8">
        <f t="shared" si="4"/>
        <v>9</v>
      </c>
      <c r="W8">
        <f t="shared" si="5"/>
        <v>10</v>
      </c>
      <c r="X8">
        <f t="shared" si="6"/>
        <v>10</v>
      </c>
      <c r="Y8">
        <f t="shared" si="7"/>
        <v>6</v>
      </c>
      <c r="Z8">
        <f t="shared" si="8"/>
        <v>8.25</v>
      </c>
    </row>
    <row r="9" spans="1:26" x14ac:dyDescent="0.2">
      <c r="A9" t="s">
        <v>18</v>
      </c>
      <c r="B9">
        <v>100</v>
      </c>
      <c r="C9" s="3">
        <v>988</v>
      </c>
      <c r="D9" s="11">
        <v>993</v>
      </c>
      <c r="E9" s="11">
        <v>995</v>
      </c>
      <c r="F9" s="11">
        <v>998</v>
      </c>
      <c r="G9" s="11">
        <v>1002</v>
      </c>
      <c r="H9" s="11">
        <v>1005</v>
      </c>
      <c r="I9" s="11">
        <v>1007</v>
      </c>
      <c r="J9" s="4">
        <v>998.57</v>
      </c>
      <c r="K9" s="1">
        <v>996</v>
      </c>
      <c r="L9">
        <v>1008</v>
      </c>
      <c r="M9">
        <v>1011.5</v>
      </c>
      <c r="N9">
        <v>1017</v>
      </c>
      <c r="O9">
        <v>1022</v>
      </c>
      <c r="P9">
        <v>1028</v>
      </c>
      <c r="Q9">
        <v>1036</v>
      </c>
      <c r="R9" s="2">
        <v>1017.1</v>
      </c>
      <c r="S9">
        <f t="shared" si="1"/>
        <v>8</v>
      </c>
      <c r="T9">
        <f t="shared" si="2"/>
        <v>15</v>
      </c>
      <c r="U9">
        <f t="shared" si="3"/>
        <v>16.5</v>
      </c>
      <c r="V9">
        <f t="shared" si="4"/>
        <v>19</v>
      </c>
      <c r="W9">
        <f t="shared" si="5"/>
        <v>20</v>
      </c>
      <c r="X9">
        <f t="shared" si="6"/>
        <v>23</v>
      </c>
      <c r="Y9">
        <f t="shared" si="7"/>
        <v>29</v>
      </c>
      <c r="Z9">
        <f t="shared" si="8"/>
        <v>18.529999999999973</v>
      </c>
    </row>
    <row r="10" spans="1:26" x14ac:dyDescent="0.2">
      <c r="A10" t="s">
        <v>19</v>
      </c>
      <c r="B10">
        <v>100</v>
      </c>
      <c r="C10" s="3">
        <v>1375</v>
      </c>
      <c r="D10" s="11">
        <v>1382</v>
      </c>
      <c r="E10" s="11">
        <v>1383.5</v>
      </c>
      <c r="F10" s="11">
        <v>1387</v>
      </c>
      <c r="G10" s="11">
        <v>1391</v>
      </c>
      <c r="H10" s="11">
        <v>1397</v>
      </c>
      <c r="I10" s="11">
        <v>1420</v>
      </c>
      <c r="J10" s="4">
        <v>1388.57</v>
      </c>
      <c r="K10" s="1">
        <v>1378</v>
      </c>
      <c r="L10">
        <v>1383</v>
      </c>
      <c r="M10">
        <v>1389.5</v>
      </c>
      <c r="N10">
        <v>1393</v>
      </c>
      <c r="O10">
        <v>1402</v>
      </c>
      <c r="P10">
        <v>1406</v>
      </c>
      <c r="Q10">
        <v>1414</v>
      </c>
      <c r="R10" s="2">
        <v>1395</v>
      </c>
      <c r="S10">
        <f t="shared" si="1"/>
        <v>3</v>
      </c>
      <c r="T10">
        <f t="shared" si="2"/>
        <v>1</v>
      </c>
      <c r="U10">
        <f t="shared" si="3"/>
        <v>6</v>
      </c>
      <c r="V10">
        <f t="shared" si="4"/>
        <v>6</v>
      </c>
      <c r="W10">
        <f t="shared" si="5"/>
        <v>11</v>
      </c>
      <c r="X10">
        <f t="shared" si="6"/>
        <v>9</v>
      </c>
      <c r="Y10">
        <f t="shared" si="7"/>
        <v>-6</v>
      </c>
      <c r="Z10">
        <f t="shared" si="8"/>
        <v>6.4300000000000637</v>
      </c>
    </row>
    <row r="11" spans="1:26" x14ac:dyDescent="0.2">
      <c r="A11" t="s">
        <v>20</v>
      </c>
      <c r="B11">
        <v>150</v>
      </c>
      <c r="C11" s="1">
        <v>2888</v>
      </c>
      <c r="D11">
        <v>2901</v>
      </c>
      <c r="E11">
        <v>2909</v>
      </c>
      <c r="F11">
        <v>2915</v>
      </c>
      <c r="G11">
        <v>2926.5</v>
      </c>
      <c r="H11">
        <v>2935</v>
      </c>
      <c r="I11">
        <v>2967</v>
      </c>
      <c r="J11" s="2">
        <v>2917.2</v>
      </c>
      <c r="K11" s="1">
        <v>2903</v>
      </c>
      <c r="L11">
        <v>2912</v>
      </c>
      <c r="M11">
        <v>2920</v>
      </c>
      <c r="N11">
        <v>2930</v>
      </c>
      <c r="O11">
        <v>2939</v>
      </c>
      <c r="P11">
        <v>2947</v>
      </c>
      <c r="Q11">
        <v>2968</v>
      </c>
      <c r="R11" s="2">
        <v>2930.06</v>
      </c>
      <c r="S11">
        <f t="shared" si="1"/>
        <v>15</v>
      </c>
      <c r="T11">
        <f t="shared" si="2"/>
        <v>11</v>
      </c>
      <c r="U11">
        <f t="shared" si="3"/>
        <v>11</v>
      </c>
      <c r="V11">
        <f t="shared" si="4"/>
        <v>15</v>
      </c>
      <c r="W11">
        <f t="shared" si="5"/>
        <v>12.5</v>
      </c>
      <c r="X11">
        <f t="shared" si="6"/>
        <v>12</v>
      </c>
      <c r="Y11">
        <f t="shared" si="7"/>
        <v>1</v>
      </c>
      <c r="Z11">
        <f t="shared" si="8"/>
        <v>12.860000000000127</v>
      </c>
    </row>
    <row r="12" spans="1:26" x14ac:dyDescent="0.2">
      <c r="A12" t="s">
        <v>21</v>
      </c>
      <c r="B12">
        <v>198</v>
      </c>
      <c r="C12" s="3">
        <v>3098</v>
      </c>
      <c r="D12" s="11">
        <v>3115</v>
      </c>
      <c r="E12" s="11">
        <v>3120</v>
      </c>
      <c r="F12" s="11">
        <v>3132</v>
      </c>
      <c r="G12" s="11">
        <v>3143</v>
      </c>
      <c r="H12" s="11">
        <v>3154</v>
      </c>
      <c r="I12" s="11">
        <v>3173</v>
      </c>
      <c r="J12" s="4">
        <v>3132.59</v>
      </c>
      <c r="K12" s="1">
        <v>3103</v>
      </c>
      <c r="L12">
        <v>3115</v>
      </c>
      <c r="M12">
        <v>3124</v>
      </c>
      <c r="N12">
        <v>3133</v>
      </c>
      <c r="O12">
        <v>3148.5</v>
      </c>
      <c r="P12">
        <v>3161</v>
      </c>
      <c r="Q12">
        <v>3206</v>
      </c>
      <c r="R12" s="2">
        <v>3137.78</v>
      </c>
      <c r="S12">
        <f t="shared" si="1"/>
        <v>5</v>
      </c>
      <c r="T12">
        <f t="shared" si="2"/>
        <v>0</v>
      </c>
      <c r="U12">
        <f t="shared" si="3"/>
        <v>4</v>
      </c>
      <c r="V12">
        <f t="shared" si="4"/>
        <v>1</v>
      </c>
      <c r="W12">
        <f t="shared" si="5"/>
        <v>5.5</v>
      </c>
      <c r="X12">
        <f t="shared" si="6"/>
        <v>7</v>
      </c>
      <c r="Y12">
        <f t="shared" si="7"/>
        <v>33</v>
      </c>
      <c r="Z12">
        <f t="shared" si="8"/>
        <v>5.1900000000000546</v>
      </c>
    </row>
    <row r="13" spans="1:26" x14ac:dyDescent="0.2">
      <c r="A13" t="s">
        <v>23</v>
      </c>
      <c r="B13">
        <v>200</v>
      </c>
      <c r="C13" s="1">
        <v>1920</v>
      </c>
      <c r="D13">
        <v>1931</v>
      </c>
      <c r="E13">
        <v>1936</v>
      </c>
      <c r="F13">
        <v>1946</v>
      </c>
      <c r="G13">
        <v>1955.5</v>
      </c>
      <c r="H13">
        <v>1969</v>
      </c>
      <c r="I13">
        <v>1979</v>
      </c>
      <c r="J13" s="2">
        <v>1947.41</v>
      </c>
      <c r="K13" s="1">
        <v>1921</v>
      </c>
      <c r="L13">
        <v>1939</v>
      </c>
      <c r="M13">
        <v>1949</v>
      </c>
      <c r="N13">
        <v>1961</v>
      </c>
      <c r="O13">
        <v>1968</v>
      </c>
      <c r="P13">
        <v>1977</v>
      </c>
      <c r="Q13">
        <v>1985</v>
      </c>
      <c r="R13" s="2">
        <v>1958.27</v>
      </c>
      <c r="S13">
        <f t="shared" ref="S13" si="9">K13-C13</f>
        <v>1</v>
      </c>
      <c r="T13">
        <f t="shared" ref="T13" si="10">L13-D13</f>
        <v>8</v>
      </c>
      <c r="U13">
        <f t="shared" ref="U13" si="11">M13-E13</f>
        <v>13</v>
      </c>
      <c r="V13">
        <f t="shared" ref="V13" si="12">N13-F13</f>
        <v>15</v>
      </c>
      <c r="W13">
        <f t="shared" ref="W13" si="13">O13-G13</f>
        <v>12.5</v>
      </c>
      <c r="X13">
        <f t="shared" ref="X13" si="14">P13-H13</f>
        <v>8</v>
      </c>
      <c r="Y13">
        <f t="shared" ref="Y13" si="15">Q13-I13</f>
        <v>6</v>
      </c>
      <c r="Z13">
        <f t="shared" ref="Z13" si="16">R13-J13</f>
        <v>10.8599999999999</v>
      </c>
    </row>
    <row r="14" spans="1:26" x14ac:dyDescent="0.2">
      <c r="A14" t="s">
        <v>24</v>
      </c>
      <c r="B14">
        <v>200</v>
      </c>
      <c r="C14" s="1">
        <v>1379</v>
      </c>
      <c r="D14">
        <v>1388</v>
      </c>
      <c r="E14">
        <v>1394.5</v>
      </c>
      <c r="F14">
        <v>1402</v>
      </c>
      <c r="G14">
        <v>1413</v>
      </c>
      <c r="H14">
        <v>1423</v>
      </c>
      <c r="I14">
        <v>1433</v>
      </c>
      <c r="J14" s="2">
        <v>1403.45</v>
      </c>
      <c r="K14">
        <v>1379</v>
      </c>
      <c r="L14">
        <v>1392</v>
      </c>
      <c r="M14">
        <v>1397</v>
      </c>
      <c r="N14">
        <v>1405</v>
      </c>
      <c r="O14">
        <v>1414</v>
      </c>
      <c r="P14">
        <v>1422</v>
      </c>
      <c r="Q14">
        <v>1434</v>
      </c>
      <c r="R14">
        <v>1405.67</v>
      </c>
      <c r="S14" s="1">
        <f t="shared" ref="S14" si="17">K14-C14</f>
        <v>0</v>
      </c>
      <c r="T14">
        <f t="shared" ref="T14" si="18">L14-D14</f>
        <v>4</v>
      </c>
      <c r="U14">
        <f t="shared" ref="U14" si="19">M14-E14</f>
        <v>2.5</v>
      </c>
      <c r="V14">
        <f t="shared" ref="V14" si="20">N14-F14</f>
        <v>3</v>
      </c>
      <c r="W14">
        <f t="shared" ref="W14" si="21">O14-G14</f>
        <v>1</v>
      </c>
      <c r="X14">
        <f t="shared" ref="X14" si="22">P14-H14</f>
        <v>-1</v>
      </c>
      <c r="Y14">
        <f t="shared" ref="Y14" si="23">Q14-I14</f>
        <v>1</v>
      </c>
      <c r="Z14">
        <f t="shared" ref="Z14" si="24">R14-J14</f>
        <v>2.2200000000000273</v>
      </c>
    </row>
    <row r="15" spans="1:26" x14ac:dyDescent="0.2">
      <c r="A15" t="s">
        <v>25</v>
      </c>
      <c r="B15">
        <v>300</v>
      </c>
      <c r="C15" s="1">
        <v>2128</v>
      </c>
      <c r="D15">
        <v>2141</v>
      </c>
      <c r="E15">
        <v>2146</v>
      </c>
      <c r="F15">
        <v>2151</v>
      </c>
      <c r="G15">
        <v>2159.5</v>
      </c>
      <c r="H15">
        <v>2167</v>
      </c>
      <c r="I15">
        <v>2178</v>
      </c>
      <c r="J15" s="2">
        <v>2152.37</v>
      </c>
      <c r="K15">
        <v>2135</v>
      </c>
      <c r="L15">
        <v>2145</v>
      </c>
      <c r="M15">
        <v>2155.5</v>
      </c>
      <c r="N15">
        <v>2166</v>
      </c>
      <c r="O15">
        <v>2187</v>
      </c>
      <c r="P15">
        <v>2204</v>
      </c>
      <c r="Q15">
        <v>2275</v>
      </c>
      <c r="R15">
        <v>2174.08</v>
      </c>
      <c r="S15" s="1">
        <f t="shared" ref="S15" si="25">K15-C15</f>
        <v>7</v>
      </c>
      <c r="T15">
        <f t="shared" ref="T15" si="26">L15-D15</f>
        <v>4</v>
      </c>
      <c r="U15">
        <f t="shared" ref="U15" si="27">M15-E15</f>
        <v>9.5</v>
      </c>
      <c r="V15">
        <f t="shared" ref="V15" si="28">N15-F15</f>
        <v>15</v>
      </c>
      <c r="W15">
        <f t="shared" ref="W15" si="29">O15-G15</f>
        <v>27.5</v>
      </c>
      <c r="X15">
        <f t="shared" ref="X15" si="30">P15-H15</f>
        <v>37</v>
      </c>
      <c r="Y15">
        <f t="shared" ref="Y15" si="31">Q15-I15</f>
        <v>97</v>
      </c>
      <c r="Z15">
        <f t="shared" ref="Z15" si="32">R15-J15</f>
        <v>21.710000000000036</v>
      </c>
    </row>
  </sheetData>
  <mergeCells count="3">
    <mergeCell ref="C1:J1"/>
    <mergeCell ref="K1:R1"/>
    <mergeCell ref="S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2026-05-07T19:27:39Z</dcterms:created>
  <dcterms:modified xsi:type="dcterms:W3CDTF">2026-05-11T14:53:59Z</dcterms:modified>
</cp:coreProperties>
</file>